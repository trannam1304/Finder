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 &amp; Tiến Độ" sheetId="1" state="visible" r:id="rId1"/>
    <sheet xmlns:r="http://schemas.openxmlformats.org/officeDocument/2006/relationships" name="📋 Phân Công Task Chi Tiết" sheetId="2" state="visible" r:id="rId2"/>
    <sheet xmlns:r="http://schemas.openxmlformats.org/officeDocument/2006/relationships" name="👥 Phân Chia Vai Trò (RACI)" sheetId="3" state="visible" r:id="rId3"/>
    <sheet xmlns:r="http://schemas.openxmlformats.org/officeDocument/2006/relationships" name="💡 Đặc Tả Thuật Toán Lộ Trì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0"/>
    </font>
    <font>
      <name val="Segoe UI"/>
      <b val="1"/>
      <color rgb="00475569"/>
      <sz val="9.5"/>
    </font>
    <font>
      <name val="Segoe UI"/>
      <b val="1"/>
      <color rgb="000284C7"/>
      <sz val="18"/>
    </font>
    <font>
      <name val="Segoe UI"/>
      <b val="1"/>
      <color rgb="00D97706"/>
      <sz val="18"/>
    </font>
    <font>
      <name val="Segoe UI"/>
      <b val="1"/>
      <color rgb="007C3AED"/>
      <sz val="18"/>
    </font>
    <font>
      <name val="Segoe UI"/>
      <b val="1"/>
      <color rgb="0016A34A"/>
      <sz val="18"/>
    </font>
    <font>
      <name val="Segoe UI"/>
      <b val="1"/>
      <color rgb="000F172A"/>
      <sz val="18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0F172A"/>
      <sz val="9.5"/>
    </font>
    <font>
      <name val="Segoe UI"/>
      <b val="1"/>
      <color rgb="00991B1B"/>
      <sz val="9.5"/>
    </font>
    <font>
      <name val="Segoe UI"/>
      <b val="1"/>
      <color rgb="00166534"/>
      <sz val="9.5"/>
    </font>
    <font>
      <name val="Segoe UI"/>
      <b val="1"/>
      <color rgb="0092400E"/>
      <sz val="9.5"/>
    </font>
  </fonts>
  <fills count="10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0284C7"/>
        <bgColor rgb="000284C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46" customWidth="1" min="2" max="2"/>
    <col width="64" customWidth="1" min="3" max="3"/>
    <col width="65" customWidth="1" min="4" max="4"/>
    <col width="65" customWidth="1" min="5" max="5"/>
    <col width="65" customWidth="1" min="6" max="6"/>
    <col width="60" customWidth="1" min="7" max="7"/>
    <col width="10" customWidth="1" min="8" max="8"/>
    <col width="65" customWidth="1" min="9" max="9"/>
    <col width="10" customWidth="1" min="10" max="10"/>
    <col width="47" customWidth="1" min="11" max="11"/>
    <col width="10" customWidth="1" min="12" max="12"/>
  </cols>
  <sheetData>
    <row r="1">
      <c r="A1" s="1" t="inlineStr">
        <is>
          <t>DỰ ÁN: FOOD &amp; TRIP FINDER — KẾ HOẠCH &amp; THEO DÕI TIẾN ĐỘ</t>
        </is>
      </c>
    </row>
    <row r="2">
      <c r="A2" s="2" t="inlineStr">
        <is>
          <t>Mở rộng nền tảng: Quán ăn/uống + Điểm du lịch + Khu vui chơi &amp; Tính năng Đề xuất lộ trình đi chơi thông minh</t>
        </is>
      </c>
    </row>
    <row r="3"/>
    <row r="4">
      <c r="A4" s="3" t="inlineStr">
        <is>
          <t>TỔNG SỐ TASK</t>
        </is>
      </c>
      <c r="B4" s="4" t="n"/>
      <c r="C4" s="3" t="inlineStr">
        <is>
          <t>CHƯA BẮT ĐẦU</t>
        </is>
      </c>
      <c r="D4" s="4" t="n"/>
      <c r="E4" s="3" t="inlineStr">
        <is>
          <t>ĐANG LÀM</t>
        </is>
      </c>
      <c r="F4" s="4" t="n"/>
      <c r="G4" s="3" t="inlineStr">
        <is>
          <t>CHỜ REVIEW</t>
        </is>
      </c>
      <c r="H4" s="4" t="n"/>
      <c r="I4" s="3" t="inlineStr">
        <is>
          <t>HOÀN THÀNH</t>
        </is>
      </c>
      <c r="J4" s="4" t="n"/>
      <c r="K4" s="3" t="inlineStr">
        <is>
          <t>TIẾN ĐỘ CHUNG</t>
        </is>
      </c>
      <c r="L4" s="4" t="n"/>
    </row>
    <row r="5">
      <c r="A5" s="5">
        <f>COUNTA('📋 Phân Công Task Chi Tiết'!A4:A24)</f>
        <v/>
      </c>
      <c r="B5" s="4" t="n"/>
      <c r="C5" s="6">
        <f>COUNTIF('📋 Phân Công Task Chi Tiết'!G4:G24, "To Do")</f>
        <v/>
      </c>
      <c r="D5" s="4" t="n"/>
      <c r="E5" s="5">
        <f>COUNTIF('📋 Phân Công Task Chi Tiết'!G4:G24, "In Progress")</f>
        <v/>
      </c>
      <c r="F5" s="4" t="n"/>
      <c r="G5" s="7">
        <f>COUNTIF('📋 Phân Công Task Chi Tiết'!G4:G24, "In Review")</f>
        <v/>
      </c>
      <c r="H5" s="4" t="n"/>
      <c r="I5" s="8">
        <f>COUNTIF('📋 Phân Công Task Chi Tiết'!G4:G24, "Done")+COUNTIF('📋 Phân Công Task Chi Tiết'!G4:G24, "Completed")</f>
        <v/>
      </c>
      <c r="J5" s="4" t="n"/>
      <c r="K5" s="9">
        <f>IF(A5&gt;0, ROUND((I5/A5)*100, 1) &amp; "%", "0%")</f>
        <v/>
      </c>
      <c r="L5" s="4" t="n"/>
    </row>
    <row r="6"/>
    <row r="7"/>
    <row r="8">
      <c r="A8" s="10" t="inlineStr">
        <is>
          <t>TIẾN ĐỘ THEO CÁC PHÂN HỆ CÔNG VIỆC (MODULES)</t>
        </is>
      </c>
    </row>
    <row r="9">
      <c r="A9" s="11" t="inlineStr">
        <is>
          <t>STT</t>
        </is>
      </c>
      <c r="B9" s="11" t="inlineStr">
        <is>
          <t>Phân Hệ / Module</t>
        </is>
      </c>
      <c r="C9" s="11" t="inlineStr">
        <is>
          <t>Tổng Tasks</t>
        </is>
      </c>
      <c r="D9" s="11" t="inlineStr">
        <is>
          <t>Đã Xong</t>
        </is>
      </c>
      <c r="E9" s="11" t="inlineStr">
        <is>
          <t>Đang Làm</t>
        </is>
      </c>
      <c r="F9" s="11" t="inlineStr">
        <is>
          <t>Chưa Làm</t>
        </is>
      </c>
      <c r="G9" s="11" t="inlineStr">
        <is>
          <t>Tiến Độ</t>
        </is>
      </c>
    </row>
    <row r="10">
      <c r="A10" s="12" t="n">
        <v>1</v>
      </c>
      <c r="B10" s="13" t="inlineStr">
        <is>
          <t>Database &amp; Schema Migration</t>
        </is>
      </c>
      <c r="C10" s="12">
        <f>COUNTIF('📋 Phân Công Task Chi Tiết'!B4:B24, "Database")</f>
        <v/>
      </c>
      <c r="D10" s="12">
        <f>COUNTIFS('📋 Phân Công Task Chi Tiết'!B4:B24, "Database", '📋 Phân Công Task Chi Tiết'!G4:G24, "Done")+COUNTIFS('📋 Phân Công Task Chi Tiết'!B4:B24, "Database", '📋 Phân Công Task Chi Tiết'!G4:G24, "Completed")</f>
        <v/>
      </c>
      <c r="E10" s="12">
        <f>COUNTIFS('📋 Phân Công Task Chi Tiết'!B4:B24, "Database", '📋 Phân Công Task Chi Tiết'!G4:G24, "In Progress")</f>
        <v/>
      </c>
      <c r="F10" s="12">
        <f>COUNTIFS('📋 Phân Công Task Chi Tiết'!B4:B24, "Database", '📋 Phân Công Task Chi Tiết'!G4:G24, "To Do")</f>
        <v/>
      </c>
      <c r="G10" s="14">
        <f>IF(C10&gt;0, ROUND((D10/C10)*100, 0)&amp;"%", "0%")</f>
        <v/>
      </c>
    </row>
    <row r="11">
      <c r="A11" s="12" t="n">
        <v>2</v>
      </c>
      <c r="B11" s="13" t="inlineStr">
        <is>
          <t>Backend API &amp; Thuật toán Lộ trình</t>
        </is>
      </c>
      <c r="C11" s="12">
        <f>COUNTIF('📋 Phân Công Task Chi Tiết'!B4:B24, "Backend")</f>
        <v/>
      </c>
      <c r="D11" s="12">
        <f>COUNTIFS('📋 Phân Công Task Chi Tiết'!B4:B24, "Backend", '📋 Phân Công Task Chi Tiết'!G4:G24, "Done")+COUNTIFS('📋 Phân Công Task Chi Tiết'!B4:B24, "Backend", '📋 Phân Công Task Chi Tiết'!G4:G24, "Completed")</f>
        <v/>
      </c>
      <c r="E11" s="12">
        <f>COUNTIFS('📋 Phân Công Task Chi Tiết'!B4:B24, "Backend", '📋 Phân Công Task Chi Tiết'!G4:G24, "In Progress")</f>
        <v/>
      </c>
      <c r="F11" s="12">
        <f>COUNTIFS('📋 Phân Công Task Chi Tiết'!B4:B24, "Backend", '📋 Phân Công Task Chi Tiết'!G4:G24, "To Do")</f>
        <v/>
      </c>
      <c r="G11" s="14">
        <f>IF(C11&gt;0, ROUND((D11/C11)*100, 0)&amp;"%", "0%")</f>
        <v/>
      </c>
    </row>
    <row r="12">
      <c r="A12" s="12" t="n">
        <v>3</v>
      </c>
      <c r="B12" s="13" t="inlineStr">
        <is>
          <t>Frontend Giao diện &amp; Bản đồ Lộ trình</t>
        </is>
      </c>
      <c r="C12" s="12">
        <f>COUNTIF('📋 Phân Công Task Chi Tiết'!B4:B24, "Frontend")</f>
        <v/>
      </c>
      <c r="D12" s="12">
        <f>COUNTIFS('📋 Phân Công Task Chi Tiết'!B4:B24, "Frontend", '📋 Phân Công Task Chi Tiết'!G4:G24, "Done")+COUNTIFS('📋 Phân Công Task Chi Tiết'!B4:B24, "Frontend", '📋 Phân Công Task Chi Tiết'!G4:G24, "Completed")</f>
        <v/>
      </c>
      <c r="E12" s="12">
        <f>COUNTIFS('📋 Phân Công Task Chi Tiết'!B4:B24, "Frontend", '📋 Phân Công Task Chi Tiết'!G4:G24, "In Progress")</f>
        <v/>
      </c>
      <c r="F12" s="12">
        <f>COUNTIFS('📋 Phân Công Task Chi Tiết'!B4:B24, "Frontend", '📋 Phân Công Task Chi Tiết'!G4:G24, "To Do")</f>
        <v/>
      </c>
      <c r="G12" s="14">
        <f>IF(C12&gt;0, ROUND((D12/C12)*100, 0)&amp;"%", "0%")</f>
        <v/>
      </c>
    </row>
    <row r="13">
      <c r="A13" s="12" t="n">
        <v>4</v>
      </c>
      <c r="B13" s="13" t="inlineStr">
        <is>
          <t>Admin CMS Quản trị Mở rộng</t>
        </is>
      </c>
      <c r="C13" s="12">
        <f>COUNTIF('📋 Phân Công Task Chi Tiết'!B4:B24, "Admin")</f>
        <v/>
      </c>
      <c r="D13" s="12">
        <f>COUNTIFS('📋 Phân Công Task Chi Tiết'!B4:B24, "Admin", '📋 Phân Công Task Chi Tiết'!G4:G24, "Done")+COUNTIFS('📋 Phân Công Task Chi Tiết'!B4:B24, "Admin", '📋 Phân Công Task Chi Tiết'!G4:G24, "Completed")</f>
        <v/>
      </c>
      <c r="E13" s="12">
        <f>COUNTIFS('📋 Phân Công Task Chi Tiết'!B4:B24, "Admin", '📋 Phân Công Task Chi Tiết'!G4:G24, "In Progress")</f>
        <v/>
      </c>
      <c r="F13" s="12">
        <f>COUNTIFS('📋 Phân Công Task Chi Tiết'!B4:B24, "Admin", '📋 Phân Công Task Chi Tiết'!G4:G24, "To Do")</f>
        <v/>
      </c>
      <c r="G13" s="14">
        <f>IF(C13&gt;0, ROUND((D13/C13)*100, 0)&amp;"%", "0%")</f>
        <v/>
      </c>
    </row>
    <row r="14">
      <c r="A14" s="12" t="n">
        <v>5</v>
      </c>
      <c r="B14" s="13" t="inlineStr">
        <is>
          <t>Kiểm Thử Chất Lượng (QA &amp; Testing)</t>
        </is>
      </c>
      <c r="C14" s="12">
        <f>COUNTIF('📋 Phân Công Task Chi Tiết'!B4:B24, "QA &amp; Testing")</f>
        <v/>
      </c>
      <c r="D14" s="12">
        <f>COUNTIFS('📋 Phân Công Task Chi Tiết'!B4:B24, "QA &amp; Testing", '📋 Phân Công Task Chi Tiết'!G4:G24, "Done")+COUNTIFS('📋 Phân Công Task Chi Tiết'!B4:B24, "QA &amp; Testing", '📋 Phân Công Task Chi Tiết'!G4:G24, "Completed")</f>
        <v/>
      </c>
      <c r="E14" s="12">
        <f>COUNTIFS('📋 Phân Công Task Chi Tiết'!B4:B24, "QA &amp; Testing", '📋 Phân Công Task Chi Tiết'!G4:G24, "In Progress")</f>
        <v/>
      </c>
      <c r="F14" s="12">
        <f>COUNTIFS('📋 Phân Công Task Chi Tiết'!B4:B24, "QA &amp; Testing", '📋 Phân Công Task Chi Tiết'!G4:G24, "To Do")</f>
        <v/>
      </c>
      <c r="G14" s="14">
        <f>IF(C14&gt;0, ROUND((D14/C14)*100, 0)&amp;"%", "0%")</f>
        <v/>
      </c>
    </row>
    <row r="15">
      <c r="A15" s="12" t="n">
        <v>6</v>
      </c>
      <c r="B15" s="13" t="inlineStr">
        <is>
          <t>Tài Liệu, Báo Cáo &amp; Demo (Docs)</t>
        </is>
      </c>
      <c r="C15" s="12">
        <f>COUNTIF('📋 Phân Công Task Chi Tiết'!B4:B24, "Documentation")</f>
        <v/>
      </c>
      <c r="D15" s="12">
        <f>COUNTIFS('📋 Phân Công Task Chi Tiết'!B4:B24, "Documentation", '📋 Phân Công Task Chi Tiết'!G4:G24, "Done")+COUNTIFS('📋 Phân Công Task Chi Tiết'!B4:B24, "Documentation", '📋 Phân Công Task Chi Tiết'!G4:G24, "Completed")</f>
        <v/>
      </c>
      <c r="E15" s="12">
        <f>COUNTIFS('📋 Phân Công Task Chi Tiết'!B4:B24, "Documentation", '📋 Phân Công Task Chi Tiết'!G4:G24, "In Progress")</f>
        <v/>
      </c>
      <c r="F15" s="12">
        <f>COUNTIFS('📋 Phân Công Task Chi Tiết'!B4:B24, "Documentation", '📋 Phân Công Task Chi Tiết'!G4:G24, "To Do")</f>
        <v/>
      </c>
      <c r="G15" s="14">
        <f>IF(C15&gt;0, ROUND((D15/C15)*100, 0)&amp;"%", "0%")</f>
        <v/>
      </c>
    </row>
    <row r="16"/>
    <row r="17"/>
    <row r="18">
      <c r="A18" s="10" t="inlineStr">
        <is>
          <t>LỘ TRÌNH CÁC CỘT MỐC (SPRINT MILESTONES)</t>
        </is>
      </c>
    </row>
    <row r="19">
      <c r="A19" s="15" t="inlineStr">
        <is>
          <t>Giai Đoạn</t>
        </is>
      </c>
      <c r="B19" s="15" t="inlineStr">
        <is>
          <t>Tên Giai Đoạn</t>
        </is>
      </c>
      <c r="C19" s="15" t="inlineStr">
        <is>
          <t>Thời Gian</t>
        </is>
      </c>
      <c r="D19" s="15" t="inlineStr">
        <is>
          <t>Mục Tiêu Trọng Tâm</t>
        </is>
      </c>
      <c r="E19" s="15" t="inlineStr">
        <is>
          <t>Đầu Ra Dự Kiến</t>
        </is>
      </c>
    </row>
    <row r="20">
      <c r="A20" s="14" t="inlineStr">
        <is>
          <t>Sprint 1</t>
        </is>
      </c>
      <c r="B20" s="13" t="inlineStr">
        <is>
          <t>Mở Rộng CSDL &amp; Seed Data Du Lịch/Vui Chơi</t>
        </is>
      </c>
      <c r="C20" s="12" t="inlineStr">
        <is>
          <t>12/10 - 16/10/2026</t>
        </is>
      </c>
      <c r="D20" s="13" t="inlineStr">
        <is>
          <t>Thêm loại địa điểm (Place Type), 30+ điểm du lịch/vui chơi quanh Q7/TPHCM, đồng bộ Mock Data</t>
        </is>
      </c>
      <c r="E20" s="13" t="inlineStr">
        <is>
          <t>SQL script chạy mượt, Mock-data có đủ du lịch/vui chơi</t>
        </is>
      </c>
    </row>
    <row r="21">
      <c r="A21" s="14" t="inlineStr">
        <is>
          <t>Sprint 2</t>
        </is>
      </c>
      <c r="B21" s="13" t="inlineStr">
        <is>
          <t>Thuật Toán Đề Xuất Lộ Trình &amp; Backend API</t>
        </is>
      </c>
      <c r="C21" s="12" t="inlineStr">
        <is>
          <t>16/10 - 22/10/2026</t>
        </is>
      </c>
      <c r="D21" s="13" t="inlineStr">
        <is>
          <t>Thuật toán ghép cặp thông minh (Ăn uống + Du lịch + Vui chơi), tối ưu khoảng cách ngắn nhất</t>
        </is>
      </c>
      <c r="E21" s="13" t="inlineStr">
        <is>
          <t>API /api/itinerary.php trả về lộ trình JSON chuẩn xác</t>
        </is>
      </c>
    </row>
    <row r="22">
      <c r="A22" s="14" t="inlineStr">
        <is>
          <t>Sprint 3</t>
        </is>
      </c>
      <c r="B22" s="13" t="inlineStr">
        <is>
          <t>Giao Diện Lập Lịch Trình &amp; Leaflet Polyline</t>
        </is>
      </c>
      <c r="C22" s="12" t="inlineStr">
        <is>
          <t>20/10 - 27/10/2026</t>
        </is>
      </c>
      <c r="D22" s="13" t="inlineStr">
        <is>
          <t>Modal thiết lập lộ trình, Timeline trực quan, vẽ đường nối Polyline Leaflet, nút đổi chặng</t>
        </is>
      </c>
      <c r="E22" s="13" t="inlineStr">
        <is>
          <t>Người dùng tạo được lộ trình hoàn chỉnh trên Web</t>
        </is>
      </c>
    </row>
    <row r="23">
      <c r="A23" s="14" t="inlineStr">
        <is>
          <t>Sprint 4</t>
        </is>
      </c>
      <c r="B23" s="13" t="inlineStr">
        <is>
          <t>Admin CMS, Kiểm Thử Toàn Diện &amp; Báo Cáo</t>
        </is>
      </c>
      <c r="C23" s="12" t="inlineStr">
        <is>
          <t>26/10 - 02/11/2026</t>
        </is>
      </c>
      <c r="D23" s="13" t="inlineStr">
        <is>
          <t>Quản trị đa địa điểm trong Admin, Test GPS thực tế, tài liệu kỹ thuật, slide demo</t>
        </is>
      </c>
      <c r="E23" s="13" t="inlineStr">
        <is>
          <t>Hệ thống hoạt động trơn tru sẵn sàng nghiệm thu</t>
        </is>
      </c>
    </row>
  </sheetData>
  <mergeCells count="12">
    <mergeCell ref="A4:B4"/>
    <mergeCell ref="G4:H4"/>
    <mergeCell ref="E4:F4"/>
    <mergeCell ref="I4:J4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55" customWidth="1" min="4" max="4"/>
    <col width="18" customWidth="1" min="5" max="5"/>
    <col width="16" customWidth="1" min="6" max="6"/>
    <col width="15" customWidth="1" min="7" max="7"/>
    <col width="13" customWidth="1" min="8" max="8"/>
    <col width="13" customWidth="1" min="9" max="9"/>
    <col width="12" customWidth="1" min="10" max="10"/>
    <col width="38" customWidth="1" min="11" max="11"/>
  </cols>
  <sheetData>
    <row r="1">
      <c r="A1" s="1" t="inlineStr">
        <is>
          <t>BẢNG PHÂN CÔNG VÀ THEO DÕI TIẾN ĐỘ CÔNG VIỆC CHI TIẾT</t>
        </is>
      </c>
    </row>
    <row r="2">
      <c r="A2" s="2" t="inlineStr">
        <is>
          <t>Hướng dẫn: Cập nhật trạng thái (To Do, In Progress, In Review, Done, Completed) và Người phụ trách để Dashboard tự động tính toán</t>
        </is>
      </c>
    </row>
    <row r="3">
      <c r="A3" s="15" t="inlineStr">
        <is>
          <t>Mã Task</t>
        </is>
      </c>
      <c r="B3" s="15" t="inlineStr">
        <is>
          <t>Phân Hệ (Module)</t>
        </is>
      </c>
      <c r="C3" s="15" t="inlineStr">
        <is>
          <t>Tên Công Việc (Task Title)</t>
        </is>
      </c>
      <c r="D3" s="15" t="inlineStr">
        <is>
          <t>Mô Tả Chi Tiết &amp; Tiêu Chí Nghiệm Thu (Acceptance Criteria)</t>
        </is>
      </c>
      <c r="E3" s="15" t="inlineStr">
        <is>
          <t>Người Phụ Trách</t>
        </is>
      </c>
      <c r="F3" s="15" t="inlineStr">
        <is>
          <t>Độ Ưu Tiên</t>
        </is>
      </c>
      <c r="G3" s="15" t="inlineStr">
        <is>
          <t>Trạng Thái</t>
        </is>
      </c>
      <c r="H3" s="15" t="inlineStr">
        <is>
          <t>Bắt Đầu</t>
        </is>
      </c>
      <c r="I3" s="15" t="inlineStr">
        <is>
          <t>Hạn Chót</t>
        </is>
      </c>
      <c r="J3" s="15" t="inlineStr">
        <is>
          <t>Tiến Độ (%)</t>
        </is>
      </c>
      <c r="K3" s="15" t="inlineStr">
        <is>
          <t>Ghi Chú &amp; Công Nghệ Liên Quan</t>
        </is>
      </c>
    </row>
    <row r="4">
      <c r="A4" s="12" t="inlineStr">
        <is>
          <t>DB-01</t>
        </is>
      </c>
      <c r="B4" s="14" t="inlineStr">
        <is>
          <t>Database</t>
        </is>
      </c>
      <c r="C4" s="13" t="inlineStr">
        <is>
          <t>Mở rộng Database Schema hỗ trợ Đa loại hình địa điểm</t>
        </is>
      </c>
      <c r="D4" s="13" t="inlineStr">
        <is>
          <t>Mở rộng schema thêm cột: place_type ('food', 'tourism', 'entertainment'), ticket_price (giá vé), estimated_duration (thời lượng phút), best_time_slot ('morning', 'afternoon', 'evening').</t>
        </is>
      </c>
      <c r="E4" s="14" t="inlineStr">
        <is>
          <t>Backend Dev</t>
        </is>
      </c>
      <c r="F4" s="16" t="inlineStr">
        <is>
          <t>P1 - Cao</t>
        </is>
      </c>
      <c r="G4" s="17" t="inlineStr">
        <is>
          <t>Completed</t>
        </is>
      </c>
      <c r="H4" s="12" t="inlineStr">
        <is>
          <t>12/10/2026</t>
        </is>
      </c>
      <c r="I4" s="12" t="inlineStr">
        <is>
          <t>14/10/2026</t>
        </is>
      </c>
      <c r="J4" s="12" t="inlineStr">
        <is>
          <t>100%</t>
        </is>
      </c>
      <c r="K4" s="13" t="inlineStr">
        <is>
          <t>MySQL / MariaDB, database/schema.sql</t>
        </is>
      </c>
    </row>
    <row r="5">
      <c r="A5" s="18" t="inlineStr">
        <is>
          <t>DB-02</t>
        </is>
      </c>
      <c r="B5" s="19" t="inlineStr">
        <is>
          <t>Database</t>
        </is>
      </c>
      <c r="C5" s="20" t="inlineStr">
        <is>
          <t>Mở rộng Bảng Danh Mục (Categories) theo 3 Nhóm lớn</t>
        </is>
      </c>
      <c r="D5" s="20" t="inlineStr">
        <is>
          <t>Thêm type_group vào bảng categories. Tạo danh mục Du lịch (Bảo tàng, Di tích, Công viên, Cảnh quan) &amp; Vui chơi (Khu trò chơi, Rạp phim, Boardgame, Workshop).</t>
        </is>
      </c>
      <c r="E5" s="19" t="inlineStr">
        <is>
          <t>Backend Dev</t>
        </is>
      </c>
      <c r="F5" s="16" t="inlineStr">
        <is>
          <t>P1 - Cao</t>
        </is>
      </c>
      <c r="G5" s="17" t="inlineStr">
        <is>
          <t>Completed</t>
        </is>
      </c>
      <c r="H5" s="18" t="inlineStr">
        <is>
          <t>12/10/2026</t>
        </is>
      </c>
      <c r="I5" s="18" t="inlineStr">
        <is>
          <t>14/10/2026</t>
        </is>
      </c>
      <c r="J5" s="18" t="inlineStr">
        <is>
          <t>100%</t>
        </is>
      </c>
      <c r="K5" s="20" t="inlineStr">
        <is>
          <t>database/seed_categories.sql</t>
        </is>
      </c>
    </row>
    <row r="6">
      <c r="A6" s="12" t="inlineStr">
        <is>
          <t>DB-03</t>
        </is>
      </c>
      <c r="B6" s="14" t="inlineStr">
        <is>
          <t>Database</t>
        </is>
      </c>
      <c r="C6" s="13" t="inlineStr">
        <is>
          <t>Thu thập dữ liệu &amp; Seed 30+ Điểm Du lịch &amp; Vui chơi thực tế</t>
        </is>
      </c>
      <c r="D6" s="13" t="inlineStr">
        <is>
          <t>Thu thập toạ độ GPS chính xác quanh Q7 &amp; TP.HCM: Cầu Ánh Sao, Hồ Bán Nguyệt, Bảo tàng tranh 3D Artinus, Jump Arena, Thảo Cầm Viên, Bến Bạch Đằng, Landmark 81...</t>
        </is>
      </c>
      <c r="E6" s="14" t="inlineStr">
        <is>
          <t>Data Lead</t>
        </is>
      </c>
      <c r="F6" s="16" t="inlineStr">
        <is>
          <t>P1 - Cao</t>
        </is>
      </c>
      <c r="G6" s="17" t="inlineStr">
        <is>
          <t>Completed</t>
        </is>
      </c>
      <c r="H6" s="12" t="inlineStr">
        <is>
          <t>13/10/2026</t>
        </is>
      </c>
      <c r="I6" s="12" t="inlineStr">
        <is>
          <t>16/10/2026</t>
        </is>
      </c>
      <c r="J6" s="12" t="inlineStr">
        <is>
          <t>100%</t>
        </is>
      </c>
      <c r="K6" s="13" t="inlineStr">
        <is>
          <t>database/seed_places_expansion.sql</t>
        </is>
      </c>
    </row>
    <row r="7">
      <c r="A7" s="18" t="inlineStr">
        <is>
          <t>DB-04</t>
        </is>
      </c>
      <c r="B7" s="19" t="inlineStr">
        <is>
          <t>Frontend</t>
        </is>
      </c>
      <c r="C7" s="20" t="inlineStr">
        <is>
          <t>Cập nhật Dữ liệu Mock Data Frontend (mock-data.js)</t>
        </is>
      </c>
      <c r="D7" s="20" t="inlineStr">
        <is>
          <t>Đồng bộ toàn bộ danh sách điểm Du lịch và Vui chơi vào mock-data.js để app chạy chế độ demo độc lập không cần backend.</t>
        </is>
      </c>
      <c r="E7" s="19" t="inlineStr">
        <is>
          <t>Tuấn Kiệt</t>
        </is>
      </c>
      <c r="F7" s="21" t="inlineStr">
        <is>
          <t>P2 - Trung bình</t>
        </is>
      </c>
      <c r="G7" s="17" t="inlineStr">
        <is>
          <t>Completed</t>
        </is>
      </c>
      <c r="H7" s="18" t="inlineStr">
        <is>
          <t>14/10/2026</t>
        </is>
      </c>
      <c r="I7" s="18" t="inlineStr">
        <is>
          <t>16/10/2026</t>
        </is>
      </c>
      <c r="J7" s="18" t="inlineStr">
        <is>
          <t>100%</t>
        </is>
      </c>
      <c r="K7" s="20" t="inlineStr">
        <is>
          <t>public/assets/js/mock-data.js</t>
        </is>
      </c>
    </row>
    <row r="8">
      <c r="A8" s="12" t="inlineStr">
        <is>
          <t>BE-01</t>
        </is>
      </c>
      <c r="B8" s="14" t="inlineStr">
        <is>
          <t>Backend</t>
        </is>
      </c>
      <c r="C8" s="13" t="inlineStr">
        <is>
          <t>Cập nhật RESTful API Lấy danh sách địa điểm theo loại hình</t>
        </is>
      </c>
      <c r="D8" s="13" t="inlineStr">
        <is>
          <t>Nâng cấp api/restaurants.php (hoặc api/places.php) hỗ trợ param: type=all|food|tourism|entertainment, min_price, max_price, tính khoảng cách Haversine.</t>
        </is>
      </c>
      <c r="E8" s="14" t="inlineStr">
        <is>
          <t>Backend Dev</t>
        </is>
      </c>
      <c r="F8" s="16" t="inlineStr">
        <is>
          <t>P1 - Cao</t>
        </is>
      </c>
      <c r="G8" s="17" t="inlineStr">
        <is>
          <t>Completed</t>
        </is>
      </c>
      <c r="H8" s="12" t="inlineStr">
        <is>
          <t>15/10/2026</t>
        </is>
      </c>
      <c r="I8" s="12" t="inlineStr">
        <is>
          <t>17/10/2026</t>
        </is>
      </c>
      <c r="J8" s="12" t="inlineStr">
        <is>
          <t>100%</t>
        </is>
      </c>
      <c r="K8" s="13" t="inlineStr">
        <is>
          <t>public/api/restaurants.php, app/geo.php</t>
        </is>
      </c>
    </row>
    <row r="9">
      <c r="A9" s="18" t="inlineStr">
        <is>
          <t>BE-02</t>
        </is>
      </c>
      <c r="B9" s="19" t="inlineStr">
        <is>
          <t>Backend</t>
        </is>
      </c>
      <c r="C9" s="20" t="inlineStr">
        <is>
          <t>Nghiên cứu &amp; Thiết kế Thuật toán Đề xuất Lộ trình Đi chơi</t>
        </is>
      </c>
      <c r="D9" s="20" t="inlineStr">
        <is>
          <t>Xây dựng thuật toán ghép lịch trình: Vị trí hiện tại -&gt; [Ăn sáng/Cafe] -&gt; [Khu vui chơi/Điểm tham quan] -&gt; [Ăn trưa/tối] -&gt; [Chill ngắm cảnh]. Sắp xếp theo khoảng cách ngắn nhất (Nearest Neighbor).</t>
        </is>
      </c>
      <c r="E9" s="19" t="inlineStr">
        <is>
          <t>Backend Dev</t>
        </is>
      </c>
      <c r="F9" s="16" t="inlineStr">
        <is>
          <t>P1 - Cao</t>
        </is>
      </c>
      <c r="G9" s="17" t="inlineStr">
        <is>
          <t>Completed</t>
        </is>
      </c>
      <c r="H9" s="18" t="inlineStr">
        <is>
          <t>16/10/2026</t>
        </is>
      </c>
      <c r="I9" s="18" t="inlineStr">
        <is>
          <t>20/10/2026</t>
        </is>
      </c>
      <c r="J9" s="18" t="inlineStr">
        <is>
          <t>100%</t>
        </is>
      </c>
      <c r="K9" s="20" t="inlineStr">
        <is>
          <t>app/itinerary.php (Thuật toán định tuyến &amp; heuristics)</t>
        </is>
      </c>
    </row>
    <row r="10">
      <c r="A10" s="12" t="inlineStr">
        <is>
          <t>BE-03</t>
        </is>
      </c>
      <c r="B10" s="14" t="inlineStr">
        <is>
          <t>Backend</t>
        </is>
      </c>
      <c r="C10" s="13" t="inlineStr">
        <is>
          <t>Xây dựng Endpoint API Đề xuất Lộ trình (/api/itinerary.php)</t>
        </is>
      </c>
      <c r="D10" s="13" t="inlineStr">
        <is>
          <t>API nhận: user_lat, user_lng, duration (half_day / full_day / evening), vibe, max_radius. Trả về JSON: tổng km, tổng giờ dự kiến, danh sách stops kèm thời gian đề xuất.</t>
        </is>
      </c>
      <c r="E10" s="14" t="inlineStr">
        <is>
          <t>Backend Dev</t>
        </is>
      </c>
      <c r="F10" s="16" t="inlineStr">
        <is>
          <t>P1 - Cao</t>
        </is>
      </c>
      <c r="G10" s="17" t="inlineStr">
        <is>
          <t>Completed</t>
        </is>
      </c>
      <c r="H10" s="12" t="inlineStr">
        <is>
          <t>18/10/2026</t>
        </is>
      </c>
      <c r="I10" s="12" t="inlineStr">
        <is>
          <t>21/10/2026</t>
        </is>
      </c>
      <c r="J10" s="12" t="inlineStr">
        <is>
          <t>100%</t>
        </is>
      </c>
      <c r="K10" s="13" t="inlineStr">
        <is>
          <t>public/api/itinerary.php, JSON REST API</t>
        </is>
      </c>
    </row>
    <row r="11">
      <c r="A11" s="18" t="inlineStr">
        <is>
          <t>BE-04</t>
        </is>
      </c>
      <c r="B11" s="19" t="inlineStr">
        <is>
          <t>Backend</t>
        </is>
      </c>
      <c r="C11" s="20" t="inlineStr">
        <is>
          <t>API Đổi Chặng Linh Hoạt trong Lộ trình (/api/itinerary_reroll.php)</t>
        </is>
      </c>
      <c r="D11" s="20" t="inlineStr">
        <is>
          <t>Cho phép người dùng bấm 'Đổi địa điểm' ở 1 chặng bất kỳ (không thích bảo tàng này thì đổi sang điểm giải trí khác tương đương gần đó) mà không vỡ toàn bộ lịch trình.</t>
        </is>
      </c>
      <c r="E11" s="19" t="inlineStr">
        <is>
          <t>Backend Dev</t>
        </is>
      </c>
      <c r="F11" s="21" t="inlineStr">
        <is>
          <t>P2 - Trung bình</t>
        </is>
      </c>
      <c r="G11" s="17" t="inlineStr">
        <is>
          <t>Completed</t>
        </is>
      </c>
      <c r="H11" s="18" t="inlineStr">
        <is>
          <t>20/10/2026</t>
        </is>
      </c>
      <c r="I11" s="18" t="inlineStr">
        <is>
          <t>22/10/2026</t>
        </is>
      </c>
      <c r="J11" s="18" t="inlineStr">
        <is>
          <t>100%</t>
        </is>
      </c>
      <c r="K11" s="20" t="inlineStr">
        <is>
          <t>public/api/itinerary_reroll.php</t>
        </is>
      </c>
    </row>
    <row r="12">
      <c r="A12" s="12" t="inlineStr">
        <is>
          <t>FE-01</t>
        </is>
      </c>
      <c r="B12" s="14" t="inlineStr">
        <is>
          <t>Frontend</t>
        </is>
      </c>
      <c r="C12" s="13" t="inlineStr">
        <is>
          <t>Nâng cấp Bộ lọc Nhóm Địa Điểm Cấp 1 trên Bản đồ &amp; Explore</t>
        </is>
      </c>
      <c r="D12" s="13" t="inlineStr">
        <is>
          <t>Thêm thanh Tabs phân loại: [Tất cả] [🍜 Ẩm thực] [🏛️ Du lịch] [🎡 Vui chơi giải trí] trên index.html và explore.html. Click tab lọc nhanh tức thì.</t>
        </is>
      </c>
      <c r="E12" s="14" t="inlineStr">
        <is>
          <t>Tuấn Kiệt</t>
        </is>
      </c>
      <c r="F12" s="16" t="inlineStr">
        <is>
          <t>P1 - Cao</t>
        </is>
      </c>
      <c r="G12" s="17" t="inlineStr">
        <is>
          <t>Completed</t>
        </is>
      </c>
      <c r="H12" s="12" t="inlineStr">
        <is>
          <t>17/10/2026</t>
        </is>
      </c>
      <c r="I12" s="12" t="inlineStr">
        <is>
          <t>19/10/2026</t>
        </is>
      </c>
      <c r="J12" s="12" t="inlineStr">
        <is>
          <t>100%</t>
        </is>
      </c>
      <c r="K12" s="13" t="inlineStr">
        <is>
          <t>public/index.html, public/explore.html, filters.js</t>
        </is>
      </c>
    </row>
    <row r="13">
      <c r="A13" s="18" t="inlineStr">
        <is>
          <t>FE-02</t>
        </is>
      </c>
      <c r="B13" s="19" t="inlineStr">
        <is>
          <t>Frontend</t>
        </is>
      </c>
      <c r="C13" s="20" t="inlineStr">
        <is>
          <t>Thiết kế Leaflet Marker &amp; Popup Riêng Biệt theo Loại Hình</t>
        </is>
      </c>
      <c r="D13" s="20" t="inlineStr">
        <is>
          <t>Marker màu đỏ/cam cho Quán ăn; Xanh lam/tím cho Du lịch; Vàng/cam neon cho Khu vui chơi. Bổ sung icon vector SVG tương ứng trong icons.js.</t>
        </is>
      </c>
      <c r="E13" s="19" t="inlineStr">
        <is>
          <t>Tuấn Kiệt</t>
        </is>
      </c>
      <c r="F13" s="21" t="inlineStr">
        <is>
          <t>P2 - Trung bình</t>
        </is>
      </c>
      <c r="G13" s="17" t="inlineStr">
        <is>
          <t>Completed</t>
        </is>
      </c>
      <c r="H13" s="18" t="inlineStr">
        <is>
          <t>18/10/2026</t>
        </is>
      </c>
      <c r="I13" s="18" t="inlineStr">
        <is>
          <t>20/10/2026</t>
        </is>
      </c>
      <c r="J13" s="18" t="inlineStr">
        <is>
          <t>100%</t>
        </is>
      </c>
      <c r="K13" s="20" t="inlineStr">
        <is>
          <t>public/assets/js/map.js, icons.js</t>
        </is>
      </c>
    </row>
    <row r="14">
      <c r="A14" s="12" t="inlineStr">
        <is>
          <t>FE-03</t>
        </is>
      </c>
      <c r="B14" s="14" t="inlineStr">
        <is>
          <t>Frontend</t>
        </is>
      </c>
      <c r="C14" s="13" t="inlineStr">
        <is>
          <t>Cập nhật Card Địa Điểm &amp; Trang Chi Tiết (restaurant.html)</t>
        </is>
      </c>
      <c r="D14" s="13" t="inlineStr">
        <is>
          <t>Hiển thị badge loại địa điểm, giá vé vào cổng (Vé miễn phí / Có phí), thời lượng trải nghiệm đề xuất (Ví dụ: 'Gợi ý: 90 phút').</t>
        </is>
      </c>
      <c r="E14" s="14" t="inlineStr">
        <is>
          <t>Tuấn Kiệt</t>
        </is>
      </c>
      <c r="F14" s="21" t="inlineStr">
        <is>
          <t>P2 - Trung bình</t>
        </is>
      </c>
      <c r="G14" s="17" t="inlineStr">
        <is>
          <t>Completed</t>
        </is>
      </c>
      <c r="H14" s="12" t="inlineStr">
        <is>
          <t>19/10/2026</t>
        </is>
      </c>
      <c r="I14" s="12" t="inlineStr">
        <is>
          <t>21/10/2026</t>
        </is>
      </c>
      <c r="J14" s="12" t="inlineStr">
        <is>
          <t>100%</t>
        </is>
      </c>
      <c r="K14" s="13" t="inlineStr">
        <is>
          <t>public/restaurant.html, format.js</t>
        </is>
      </c>
    </row>
    <row r="15">
      <c r="A15" s="18" t="inlineStr">
        <is>
          <t>FE-04</t>
        </is>
      </c>
      <c r="B15" s="19" t="inlineStr">
        <is>
          <t>Frontend</t>
        </is>
      </c>
      <c r="C15" s="20" t="inlineStr">
        <is>
          <t>Thiết kế Modal / Giao diện Thiết lập Lộ trình Đi chơi</t>
        </is>
      </c>
      <c r="D15" s="20" t="inlineStr">
        <is>
          <t>Form cho người dùng chọn: Thời lượng (Nửa ngày / Cả ngày / Buổi tối), Vibe (Chill, Hẹn hò, Trải nghiệm, Ăn sập), Bán kính. Nút CTA 'Tạo lộ trình ngay'.</t>
        </is>
      </c>
      <c r="E15" s="19" t="inlineStr">
        <is>
          <t>Frontend Dev</t>
        </is>
      </c>
      <c r="F15" s="16" t="inlineStr">
        <is>
          <t>P1 - Cao</t>
        </is>
      </c>
      <c r="G15" s="21" t="inlineStr">
        <is>
          <t>To Do</t>
        </is>
      </c>
      <c r="H15" s="18" t="inlineStr">
        <is>
          <t>20/10/2026</t>
        </is>
      </c>
      <c r="I15" s="18" t="inlineStr">
        <is>
          <t>23/10/2026</t>
        </is>
      </c>
      <c r="J15" s="18" t="inlineStr">
        <is>
          <t>0%</t>
        </is>
      </c>
      <c r="K15" s="20" t="inlineStr">
        <is>
          <t>Giao diện Neo-Brutalism, itinerary-setup.js</t>
        </is>
      </c>
    </row>
    <row r="16">
      <c r="A16" s="12" t="inlineStr">
        <is>
          <t>FE-05</t>
        </is>
      </c>
      <c r="B16" s="14" t="inlineStr">
        <is>
          <t>Frontend</t>
        </is>
      </c>
      <c r="C16" s="13" t="inlineStr">
        <is>
          <t>Xây dựng Giao diện Timeline Lịch trình Thông minh</t>
        </is>
      </c>
      <c r="D16" s="13" t="inlineStr">
        <is>
          <t>Hiển thị thẻ lịch trình dạng Timeline dọc trực quan: Cột mốc giờ (09:00 - 11:30...), Thẻ địa điểm, Khoảng cách km từ chặng trước, Nút 'Đổi điểm khác' (Reroll).</t>
        </is>
      </c>
      <c r="E16" s="14" t="inlineStr">
        <is>
          <t>Frontend Dev</t>
        </is>
      </c>
      <c r="F16" s="16" t="inlineStr">
        <is>
          <t>P1 - Cao</t>
        </is>
      </c>
      <c r="G16" s="21" t="inlineStr">
        <is>
          <t>To Do</t>
        </is>
      </c>
      <c r="H16" s="12" t="inlineStr">
        <is>
          <t>22/10/2026</t>
        </is>
      </c>
      <c r="I16" s="12" t="inlineStr">
        <is>
          <t>25/10/2026</t>
        </is>
      </c>
      <c r="J16" s="12" t="inlineStr">
        <is>
          <t>0%</t>
        </is>
      </c>
      <c r="K16" s="13" t="inlineStr">
        <is>
          <t>Timeline CSS Component, itinerary-view.js</t>
        </is>
      </c>
    </row>
    <row r="17">
      <c r="A17" s="18" t="inlineStr">
        <is>
          <t>FE-06</t>
        </is>
      </c>
      <c r="B17" s="19" t="inlineStr">
        <is>
          <t>Frontend</t>
        </is>
      </c>
      <c r="C17" s="20" t="inlineStr">
        <is>
          <t>Vẽ Tuyến Đường Đa Điểm trên Leaflet (Routing Polyline)</t>
        </is>
      </c>
      <c r="D17" s="20" t="inlineStr">
        <is>
          <t>Vẽ đường Polyline nối Vị trí người dùng -&gt; Điểm 1 -&gt; Điểm 2 -&gt; Điểm 3... Đánh số thứ tự Marker [1][2][3]. Tích hợp nút 'Mở toàn bộ lộ trình trên Google Maps'.</t>
        </is>
      </c>
      <c r="E17" s="19" t="inlineStr">
        <is>
          <t>Frontend Dev</t>
        </is>
      </c>
      <c r="F17" s="16" t="inlineStr">
        <is>
          <t>P1 - Cao</t>
        </is>
      </c>
      <c r="G17" s="21" t="inlineStr">
        <is>
          <t>To Do</t>
        </is>
      </c>
      <c r="H17" s="18" t="inlineStr">
        <is>
          <t>23/10/2026</t>
        </is>
      </c>
      <c r="I17" s="18" t="inlineStr">
        <is>
          <t>26/10/2026</t>
        </is>
      </c>
      <c r="J17" s="18" t="inlineStr">
        <is>
          <t>0%</t>
        </is>
      </c>
      <c r="K17" s="20" t="inlineStr">
        <is>
          <t>Leaflet Polyline, Google Maps multi-waypoint URL</t>
        </is>
      </c>
    </row>
    <row r="18">
      <c r="A18" s="12" t="inlineStr">
        <is>
          <t>FE-07</t>
        </is>
      </c>
      <c r="B18" s="14" t="inlineStr">
        <is>
          <t>Frontend</t>
        </is>
      </c>
      <c r="C18" s="13" t="inlineStr">
        <is>
          <t>Tính năng Lưu &amp; Chia Sẻ Lộ trình (LocalStorage / Link)</t>
        </is>
      </c>
      <c r="D18" s="13" t="inlineStr">
        <is>
          <t>Cho phép lưu các lộ trình tâm đắc vào danh sách cá nhân (LocalStorage) và tạo link chia sẻ hoặc xuất ảnh tóm tắt lịch trình.</t>
        </is>
      </c>
      <c r="E18" s="14" t="inlineStr">
        <is>
          <t>Frontend Dev</t>
        </is>
      </c>
      <c r="F18" s="3" t="inlineStr">
        <is>
          <t>P3 - Thấp</t>
        </is>
      </c>
      <c r="G18" s="21" t="inlineStr">
        <is>
          <t>To Do</t>
        </is>
      </c>
      <c r="H18" s="12" t="inlineStr">
        <is>
          <t>25/10/2026</t>
        </is>
      </c>
      <c r="I18" s="12" t="inlineStr">
        <is>
          <t>27/10/2026</t>
        </is>
      </c>
      <c r="J18" s="12" t="inlineStr">
        <is>
          <t>0%</t>
        </is>
      </c>
      <c r="K18" s="13" t="inlineStr">
        <is>
          <t>LocalStorage, Web Share API</t>
        </is>
      </c>
    </row>
    <row r="19">
      <c r="A19" s="18" t="inlineStr">
        <is>
          <t>ADM-01</t>
        </is>
      </c>
      <c r="B19" s="19" t="inlineStr">
        <is>
          <t>Admin</t>
        </is>
      </c>
      <c r="C19" s="20" t="inlineStr">
        <is>
          <t>Cập nhật Admin CMS Quản trị Đa loại hình Địa điểm</t>
        </is>
      </c>
      <c r="D19" s="20" t="inlineStr">
        <is>
          <t>Thêm trường chọn Loại hình (Ăn uống / Du lịch / Vui chơi), nhập giá vé vào cổng, thời lượng ghé thăm trong trang thêm/sửa quán của Admin CMS.</t>
        </is>
      </c>
      <c r="E19" s="19" t="inlineStr">
        <is>
          <t>Tuấn Kiệt</t>
        </is>
      </c>
      <c r="F19" s="21" t="inlineStr">
        <is>
          <t>P2 - Trung bình</t>
        </is>
      </c>
      <c r="G19" s="17" t="inlineStr">
        <is>
          <t>Completed</t>
        </is>
      </c>
      <c r="H19" s="18" t="inlineStr">
        <is>
          <t>24/10/2026</t>
        </is>
      </c>
      <c r="I19" s="18" t="inlineStr">
        <is>
          <t>26/10/2026</t>
        </is>
      </c>
      <c r="J19" s="18" t="inlineStr">
        <is>
          <t>100%</t>
        </is>
      </c>
      <c r="K19" s="20" t="inlineStr">
        <is>
          <t>public/admin/restaurants.php</t>
        </is>
      </c>
    </row>
    <row r="20">
      <c r="A20" s="12" t="inlineStr">
        <is>
          <t>ADM-02</t>
        </is>
      </c>
      <c r="B20" s="14" t="inlineStr">
        <is>
          <t>Admin</t>
        </is>
      </c>
      <c r="C20" s="13" t="inlineStr">
        <is>
          <t>Thống kê Dashboard Admin theo Phân loại Mới</t>
        </is>
      </c>
      <c r="D20" s="13" t="inlineStr">
        <is>
          <t>Cập nhật biểu đồ Dashboard thống kê tỷ trọng 3 nhóm địa điểm và số lượt người dùng sử dụng tính năng tạo lộ trình.</t>
        </is>
      </c>
      <c r="E20" s="14" t="inlineStr">
        <is>
          <t>Tuấn Kiệt</t>
        </is>
      </c>
      <c r="F20" s="3" t="inlineStr">
        <is>
          <t>P3 - Thấp</t>
        </is>
      </c>
      <c r="G20" s="17" t="inlineStr">
        <is>
          <t>Completed</t>
        </is>
      </c>
      <c r="H20" s="12" t="inlineStr">
        <is>
          <t>26/10/2026</t>
        </is>
      </c>
      <c r="I20" s="12" t="inlineStr">
        <is>
          <t>28/10/2026</t>
        </is>
      </c>
      <c r="J20" s="12" t="inlineStr">
        <is>
          <t>100%</t>
        </is>
      </c>
      <c r="K20" s="13" t="inlineStr">
        <is>
          <t>public/admin/dashboard.php, Chart.js</t>
        </is>
      </c>
    </row>
    <row r="21">
      <c r="A21" s="18" t="inlineStr">
        <is>
          <t>QA-01</t>
        </is>
      </c>
      <c r="B21" s="19" t="inlineStr">
        <is>
          <t>QA &amp; Testing</t>
        </is>
      </c>
      <c r="C21" s="20" t="inlineStr">
        <is>
          <t>Kiểm thử Thuật toán Gợi ý Lộ trình với các Toạ độ thực tế</t>
        </is>
      </c>
      <c r="D21" s="20" t="inlineStr">
        <is>
          <t>Test các vị trí xuất phát: TDTU Quận 7, Bến Bạch Đằng Q1, Khu Sala Q2... Kiểm tra tính hợp lý của lịch trình, không bị đảo chiều vô lý, giờ mở cửa khớp.</t>
        </is>
      </c>
      <c r="E21" s="19" t="inlineStr">
        <is>
          <t>Tuấn Kiệt</t>
        </is>
      </c>
      <c r="F21" s="16" t="inlineStr">
        <is>
          <t>P1 - Cao</t>
        </is>
      </c>
      <c r="G21" s="17" t="inlineStr">
        <is>
          <t>Completed</t>
        </is>
      </c>
      <c r="H21" s="18" t="inlineStr">
        <is>
          <t>26/10/2026</t>
        </is>
      </c>
      <c r="I21" s="18" t="inlineStr">
        <is>
          <t>28/10/2026</t>
        </is>
      </c>
      <c r="J21" s="18" t="inlineStr">
        <is>
          <t>100%</t>
        </is>
      </c>
      <c r="K21" s="20" t="inlineStr">
        <is>
          <t>Test cases, API testing (Postman)</t>
        </is>
      </c>
    </row>
    <row r="22">
      <c r="A22" s="12" t="inlineStr">
        <is>
          <t>QA-02</t>
        </is>
      </c>
      <c r="B22" s="14" t="inlineStr">
        <is>
          <t>QA &amp; Testing</t>
        </is>
      </c>
      <c r="C22" s="13" t="inlineStr">
        <is>
          <t>Kiểm thử Giao diện Responsive Mobile &amp; Hiệu năng Bản đồ</t>
        </is>
      </c>
      <c r="D22" s="13" t="inlineStr">
        <is>
          <t>Kiểm tra trải nghiệm trên thiết bị di động (Mobile Web / PWA), thao tác chạm vuốt bản đồ, độ mượt khi zoom và tải nhiều điểm dừng trên lộ trình.</t>
        </is>
      </c>
      <c r="E22" s="14" t="inlineStr">
        <is>
          <t>Tuấn Kiệt</t>
        </is>
      </c>
      <c r="F22" s="21" t="inlineStr">
        <is>
          <t>P2 - Trung bình</t>
        </is>
      </c>
      <c r="G22" s="17" t="inlineStr">
        <is>
          <t>Completed</t>
        </is>
      </c>
      <c r="H22" s="12" t="inlineStr">
        <is>
          <t>28/10/2026</t>
        </is>
      </c>
      <c r="I22" s="12" t="inlineStr">
        <is>
          <t>30/10/2026</t>
        </is>
      </c>
      <c r="J22" s="12" t="inlineStr">
        <is>
          <t>100%</t>
        </is>
      </c>
      <c r="K22" s="13" t="inlineStr">
        <is>
          <t>Mobile browser test, Chrome DevTools</t>
        </is>
      </c>
    </row>
    <row r="23">
      <c r="A23" s="18" t="inlineStr">
        <is>
          <t>DOC-01</t>
        </is>
      </c>
      <c r="B23" s="19" t="inlineStr">
        <is>
          <t>Documentation</t>
        </is>
      </c>
      <c r="C23" s="20" t="inlineStr">
        <is>
          <t>Cập nhật Tài liệu Kỹ thuật, Sơ đồ Thuật toán &amp; ERD mới</t>
        </is>
      </c>
      <c r="D23" s="20" t="inlineStr">
        <is>
          <t>Vẽ sơ đồ hoạt động (Flowchart tạo lộ trình), sơ đồ use-case, cập nhật ERD database và tài liệu mô tả API cho hội đồng nghiệm thu.</t>
        </is>
      </c>
      <c r="E23" s="19" t="inlineStr">
        <is>
          <t>Team Leader</t>
        </is>
      </c>
      <c r="F23" s="21" t="inlineStr">
        <is>
          <t>P2 - Trung bình</t>
        </is>
      </c>
      <c r="G23" s="21" t="inlineStr">
        <is>
          <t>To Do</t>
        </is>
      </c>
      <c r="H23" s="18" t="inlineStr">
        <is>
          <t>29/10/2026</t>
        </is>
      </c>
      <c r="I23" s="18" t="inlineStr">
        <is>
          <t>31/10/2026</t>
        </is>
      </c>
      <c r="J23" s="18" t="inlineStr">
        <is>
          <t>0%</t>
        </is>
      </c>
      <c r="K23" s="20" t="inlineStr">
        <is>
          <t>PLAN.md, Mermaid diagrams, Báo cáo đồ án</t>
        </is>
      </c>
    </row>
    <row r="24">
      <c r="A24" s="12" t="inlineStr">
        <is>
          <t>DOC-02</t>
        </is>
      </c>
      <c r="B24" s="14" t="inlineStr">
        <is>
          <t>Documentation</t>
        </is>
      </c>
      <c r="C24" s="13" t="inlineStr">
        <is>
          <t>Chuẩn bị Slide Thuyết trình &amp; Video Demo Tính năng Lộ trình</t>
        </is>
      </c>
      <c r="D24" s="13" t="inlineStr">
        <is>
          <t>Thiết kế slide báo cáo tổng kết, kịch bản demo trực quan làm nổi bật tính năng gợi ý lịch trình đi chơi dựa trên vị trí thời gian thực.</t>
        </is>
      </c>
      <c r="E24" s="14" t="inlineStr">
        <is>
          <t>All Team</t>
        </is>
      </c>
      <c r="F24" s="21" t="inlineStr">
        <is>
          <t>P2 - Trung bình</t>
        </is>
      </c>
      <c r="G24" s="21" t="inlineStr">
        <is>
          <t>To Do</t>
        </is>
      </c>
      <c r="H24" s="12" t="inlineStr">
        <is>
          <t>30/10/2026</t>
        </is>
      </c>
      <c r="I24" s="12" t="inlineStr">
        <is>
          <t>02/11/2026</t>
        </is>
      </c>
      <c r="J24" s="12" t="inlineStr">
        <is>
          <t>0%</t>
        </is>
      </c>
      <c r="K24" s="13" t="inlineStr">
        <is>
          <t>Slide PPTX / Google Slides, Video demo</t>
        </is>
      </c>
    </row>
  </sheetData>
  <dataValidations count="3">
    <dataValidation sqref="G4:G24" showDropDown="0" showInputMessage="0" showErrorMessage="0" allowBlank="1" type="list">
      <formula1>"To Do,In Progress,In Review,Done,Completed"</formula1>
    </dataValidation>
    <dataValidation sqref="F4:F24" showDropDown="0" showInputMessage="0" showErrorMessage="0" allowBlank="1" type="list">
      <formula1>"P1 - Cao,P2 - Trung bình,P3 - Thấp"</formula1>
    </dataValidation>
    <dataValidation sqref="B4:B24" showDropDown="0" showInputMessage="0" showErrorMessage="0" allowBlank="1" type="list">
      <formula1>"Database,Backend,Frontend,Admin,QA &amp; Testing,Documentation"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59" customWidth="1" min="2" max="2"/>
    <col width="49" customWidth="1" min="3" max="3"/>
    <col width="65" customWidth="1" min="4" max="4"/>
    <col width="30" customWidth="1" min="5" max="5"/>
    <col width="29" customWidth="1" min="6" max="6"/>
  </cols>
  <sheetData>
    <row r="1">
      <c r="A1" s="1" t="inlineStr">
        <is>
          <t>BẢNG PHÂN CHIA VAI TRÒ &amp; TRÁCH NHIỆM TRONG NHÓM (RACI MATRIX)</t>
        </is>
      </c>
    </row>
    <row r="2">
      <c r="A2" s="2" t="inlineStr">
        <is>
          <t>R = Responsible (Thực hiện), A = Accountable (Chịu trách nhiệm chính), C = Consulted (Tham vấn), I = Informed (Nhận thông tin)</t>
        </is>
      </c>
    </row>
    <row r="3"/>
    <row r="4">
      <c r="A4" s="10" t="inlineStr">
        <is>
          <t>DANH SÁCH THÀNH VIÊN DỰ ÁN</t>
        </is>
      </c>
    </row>
    <row r="5">
      <c r="A5" s="11" t="inlineStr">
        <is>
          <t>STT</t>
        </is>
      </c>
      <c r="B5" s="11" t="inlineStr">
        <is>
          <t>Họ &amp; Tên Thành Viên</t>
        </is>
      </c>
      <c r="C5" s="11" t="inlineStr">
        <is>
          <t>Vai Trò Đảm Nhận</t>
        </is>
      </c>
      <c r="D5" s="11" t="inlineStr">
        <is>
          <t>Phạm Vi Phụ Trách</t>
        </is>
      </c>
      <c r="E5" s="11" t="inlineStr">
        <is>
          <t>Ghi Chú</t>
        </is>
      </c>
    </row>
    <row r="6">
      <c r="A6" s="12" t="n">
        <v>1</v>
      </c>
      <c r="B6" s="13" t="inlineStr">
        <is>
          <t>52400207 - Phạm Nguyễn Tuấn Kiệt</t>
        </is>
      </c>
      <c r="C6" s="14" t="inlineStr">
        <is>
          <t>Frontend &amp; UI/UX Lead, Admin CMS, QA &amp; Testing</t>
        </is>
      </c>
      <c r="D6" s="13" t="inlineStr">
        <is>
          <t>Mock Data (DB-04), Bộ lọc cấp 1 (FE-01), Marker &amp; Popup (FE-02), Card &amp; Chi tiết (FE-03), Admin CMS (ADM-01, ADM-02), Kiểm thử (QA-01, QA-02)</t>
        </is>
      </c>
      <c r="E6" s="13" t="inlineStr">
        <is>
          <t>Hoàn thành 100% (8/8 tasks)</t>
        </is>
      </c>
    </row>
    <row r="7">
      <c r="A7" s="12" t="n">
        <v>2</v>
      </c>
      <c r="B7" s="13" t="inlineStr">
        <is>
          <t>52400230 - Nguyễn Trọng Quý</t>
        </is>
      </c>
      <c r="C7" s="14" t="inlineStr">
        <is>
          <t>Database Architect, Data Engineering &amp; Docs</t>
        </is>
      </c>
      <c r="D7" s="13" t="inlineStr">
        <is>
          <t>Thiết kế Schema mở rộng (DB-01), Danh mục 3 nhóm (DB-02), Seed 50+ địa điểm thực tế (DB-03), Báo cáo kỹ thuật &amp; ERD (DOC-01)</t>
        </is>
      </c>
      <c r="E7" s="13" t="inlineStr">
        <is>
          <t>Lead Database &amp; Docs</t>
        </is>
      </c>
    </row>
    <row r="8">
      <c r="A8" s="12" t="n">
        <v>3</v>
      </c>
      <c r="B8" s="13" t="inlineStr">
        <is>
          <t>52400217 - Trần Hữu Nam</t>
        </is>
      </c>
      <c r="C8" s="14" t="inlineStr">
        <is>
          <t>Backend API, Routing Algorithm &amp; Itinerary UI</t>
        </is>
      </c>
      <c r="D8" s="13" t="inlineStr">
        <is>
          <t>REST API Địa điểm &amp; Lộ trình (BE-01..BE-04), Giao diện Modal, Timeline, Leaflet Polyline &amp; Chia sẻ Lộ trình (FE-04..FE-07)</t>
        </is>
      </c>
      <c r="E8" s="13" t="inlineStr">
        <is>
          <t>Lead Backend &amp; Routing</t>
        </is>
      </c>
    </row>
    <row r="9"/>
    <row r="10"/>
    <row r="11"/>
    <row r="12">
      <c r="A12" s="10" t="inlineStr">
        <is>
          <t>MA TRẬN PHÂN CÔNG TRÁCH NHIỆM (RACI MATRIX)</t>
        </is>
      </c>
    </row>
    <row r="13">
      <c r="A13" s="15" t="inlineStr">
        <is>
          <t>STT</t>
        </is>
      </c>
      <c r="B13" s="15" t="inlineStr">
        <is>
          <t>Hạng Mục Công Việc</t>
        </is>
      </c>
      <c r="C13" s="15" t="inlineStr">
        <is>
          <t>Trọng Quý (DB/Docs)</t>
        </is>
      </c>
      <c r="D13" s="15" t="inlineStr">
        <is>
          <t>Tuấn Kiệt (FE/Admin/QA)</t>
        </is>
      </c>
      <c r="E13" s="15" t="inlineStr">
        <is>
          <t>Hữu Nam (BE/Routing)</t>
        </is>
      </c>
      <c r="F13" s="15" t="inlineStr">
        <is>
          <t>Ghi Chú</t>
        </is>
      </c>
    </row>
    <row r="14">
      <c r="A14" s="12" t="n">
        <v>1</v>
      </c>
      <c r="B14" s="13" t="inlineStr">
        <is>
          <t>Thiết kế Schema CSDL &amp; Thu thập dữ liệu Du lịch/Vui chơi</t>
        </is>
      </c>
      <c r="C14" s="22" t="inlineStr">
        <is>
          <t>R</t>
        </is>
      </c>
      <c r="D14" s="12" t="inlineStr">
        <is>
          <t>C</t>
        </is>
      </c>
      <c r="E14" s="12" t="inlineStr">
        <is>
          <t>C</t>
        </is>
      </c>
      <c r="F14" s="12" t="inlineStr">
        <is>
          <t>DB-01, DB-02, DB-03</t>
        </is>
      </c>
    </row>
    <row r="15">
      <c r="A15" s="12" t="n">
        <v>2</v>
      </c>
      <c r="B15" s="13" t="inlineStr">
        <is>
          <t>Đồng bộ Mock Data Frontend 50 địa điểm &amp; 15 danh mục</t>
        </is>
      </c>
      <c r="C15" s="12" t="inlineStr">
        <is>
          <t>C</t>
        </is>
      </c>
      <c r="D15" s="22" t="inlineStr">
        <is>
          <t>R</t>
        </is>
      </c>
      <c r="E15" s="12" t="inlineStr">
        <is>
          <t>I</t>
        </is>
      </c>
      <c r="F15" s="12" t="inlineStr">
        <is>
          <t>DB-04</t>
        </is>
      </c>
    </row>
    <row r="16">
      <c r="A16" s="12" t="n">
        <v>3</v>
      </c>
      <c r="B16" s="13" t="inlineStr">
        <is>
          <t>Xây dựng Thuật toán &amp; API Đề xuất Lộ trình</t>
        </is>
      </c>
      <c r="C16" s="12" t="inlineStr">
        <is>
          <t>C</t>
        </is>
      </c>
      <c r="D16" s="12" t="inlineStr">
        <is>
          <t>I</t>
        </is>
      </c>
      <c r="E16" s="22" t="inlineStr">
        <is>
          <t>R</t>
        </is>
      </c>
      <c r="F16" s="12" t="inlineStr">
        <is>
          <t>BE-01, BE-02, BE-03, BE-04</t>
        </is>
      </c>
    </row>
    <row r="17">
      <c r="A17" s="12" t="n">
        <v>4</v>
      </c>
      <c r="B17" s="13" t="inlineStr">
        <is>
          <t>Nâng cấp bộ lọc đa dạng, Marker phân màu &amp; Card chi tiết</t>
        </is>
      </c>
      <c r="C17" s="12" t="inlineStr">
        <is>
          <t>I</t>
        </is>
      </c>
      <c r="D17" s="22" t="inlineStr">
        <is>
          <t>R</t>
        </is>
      </c>
      <c r="E17" s="12" t="inlineStr">
        <is>
          <t>C</t>
        </is>
      </c>
      <c r="F17" s="12" t="inlineStr">
        <is>
          <t>FE-01, FE-02, FE-03</t>
        </is>
      </c>
    </row>
    <row r="18">
      <c r="A18" s="12" t="n">
        <v>5</v>
      </c>
      <c r="B18" s="13" t="inlineStr">
        <is>
          <t>Thiết kế Giao diện Timeline, Polyline &amp; Chia sẻ lộ trình</t>
        </is>
      </c>
      <c r="C18" s="12" t="inlineStr">
        <is>
          <t>I</t>
        </is>
      </c>
      <c r="D18" s="12" t="inlineStr">
        <is>
          <t>C</t>
        </is>
      </c>
      <c r="E18" s="22" t="inlineStr">
        <is>
          <t>R</t>
        </is>
      </c>
      <c r="F18" s="12" t="inlineStr">
        <is>
          <t>FE-04, FE-05, FE-06, FE-07</t>
        </is>
      </c>
    </row>
    <row r="19">
      <c r="A19" s="12" t="n">
        <v>6</v>
      </c>
      <c r="B19" s="13" t="inlineStr">
        <is>
          <t>Cập nhật Admin CMS &amp; Thống kê Dashboard mở rộng</t>
        </is>
      </c>
      <c r="C19" s="12" t="inlineStr">
        <is>
          <t>C</t>
        </is>
      </c>
      <c r="D19" s="22" t="inlineStr">
        <is>
          <t>R</t>
        </is>
      </c>
      <c r="E19" s="12" t="inlineStr">
        <is>
          <t>I</t>
        </is>
      </c>
      <c r="F19" s="12" t="inlineStr">
        <is>
          <t>ADM-01, ADM-02</t>
        </is>
      </c>
    </row>
    <row r="20">
      <c r="A20" s="12" t="n">
        <v>7</v>
      </c>
      <c r="B20" s="13" t="inlineStr">
        <is>
          <t>Kiểm thử Thuật toán GPS &amp; Responsive Mobile</t>
        </is>
      </c>
      <c r="C20" s="12" t="inlineStr">
        <is>
          <t>C</t>
        </is>
      </c>
      <c r="D20" s="22" t="inlineStr">
        <is>
          <t>R</t>
        </is>
      </c>
      <c r="E20" s="12" t="inlineStr">
        <is>
          <t>C</t>
        </is>
      </c>
      <c r="F20" s="12" t="inlineStr">
        <is>
          <t>QA-01, QA-02</t>
        </is>
      </c>
    </row>
    <row r="21">
      <c r="A21" s="12" t="n">
        <v>8</v>
      </c>
      <c r="B21" s="13" t="inlineStr">
        <is>
          <t>Viết báo cáo kỹ thuật, Slide &amp; Video Demo</t>
        </is>
      </c>
      <c r="C21" s="22" t="inlineStr">
        <is>
          <t>R</t>
        </is>
      </c>
      <c r="D21" s="12" t="inlineStr">
        <is>
          <t>C</t>
        </is>
      </c>
      <c r="E21" s="12" t="inlineStr">
        <is>
          <t>C</t>
        </is>
      </c>
      <c r="F21" s="12" t="inlineStr">
        <is>
          <t>DOC-01, DOC-02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65" customWidth="1" min="2" max="2"/>
    <col width="65" customWidth="1" min="3" max="3"/>
    <col width="32" customWidth="1" min="4" max="4"/>
  </cols>
  <sheetData>
    <row r="1">
      <c r="A1" s="1" t="inlineStr">
        <is>
          <t>ĐẶC TẢ THUẬT TOÁN &amp; QUY TẮC ĐỀ XUẤT LỘ TRÌNH ĐI CHƠI (ITINERARY PLANNER)</t>
        </is>
      </c>
    </row>
    <row r="2">
      <c r="A2" s="2" t="inlineStr">
        <is>
          <t>Tài liệu kỹ thuật định hướng phát triển cho Backend &amp; Frontend</t>
        </is>
      </c>
    </row>
    <row r="3"/>
    <row r="4">
      <c r="A4" s="11" t="inlineStr">
        <is>
          <t>Thông Số / Bước</t>
        </is>
      </c>
      <c r="B4" s="11" t="inlineStr">
        <is>
          <t>Mô Tả &amp; Quy Tắc Logic</t>
        </is>
      </c>
      <c r="C4" s="11" t="inlineStr">
        <is>
          <t>Công Thức / Chi Tiết Kỹ Thuật</t>
        </is>
      </c>
      <c r="D4" s="11" t="inlineStr">
        <is>
          <t>Ghi Chú</t>
        </is>
      </c>
    </row>
    <row r="5">
      <c r="A5" s="14" t="inlineStr">
        <is>
          <t>Input 1: Vị trí người dùng</t>
        </is>
      </c>
      <c r="B5" s="13" t="inlineStr">
        <is>
          <t>Toạ độ GPS thời điểm hiện tại của người dùng</t>
        </is>
      </c>
      <c r="C5" s="13" t="inlineStr">
        <is>
          <t>user_lat, user_lng (HTML5 Geolocation fallback về TDTU Q7)</t>
        </is>
      </c>
      <c r="D5" s="12" t="inlineStr">
        <is>
          <t>Điểm xuất phát bắt buộc</t>
        </is>
      </c>
    </row>
    <row r="6">
      <c r="A6" s="14" t="inlineStr">
        <is>
          <t>Input 2: Khung thời gian</t>
        </is>
      </c>
      <c r="B6" s="13" t="inlineStr">
        <is>
          <t>Thời lượng chuyến đi mong muốn</t>
        </is>
      </c>
      <c r="C6" s="13" t="inlineStr">
        <is>
          <t>half_day_morning (08:00 - 13:00) | half_day_afternoon (13:00 - 18:00) | evening (17:00 - 22:00) | full_day (08:00 - 21:00)</t>
        </is>
      </c>
      <c r="D6" s="12" t="inlineStr">
        <is>
          <t>Quyết định số chặng dừng</t>
        </is>
      </c>
    </row>
    <row r="7">
      <c r="A7" s="14" t="inlineStr">
        <is>
          <t>Input 3: Phong cách (Vibe)</t>
        </is>
      </c>
      <c r="B7" s="13" t="inlineStr">
        <is>
          <t>Sở thích trải nghiệm chuyến đi</t>
        </is>
      </c>
      <c r="C7" s="13" t="inlineStr">
        <is>
          <t>Chill &amp; Cafe (nhẹ nhàng) | Vui chơi hết mình (năng động) | Check-in &amp; Sống ảo (cảnh đẹp) | Ăn sập (ẩm thực) | Hẹn hò lãng mạn</t>
        </is>
      </c>
      <c r="D7" s="12" t="inlineStr">
        <is>
          <t>Trọng số lọc danh mục</t>
        </is>
      </c>
    </row>
    <row r="8">
      <c r="A8" s="14" t="inlineStr">
        <is>
          <t>Input 4: Bán kính di chuyển</t>
        </is>
      </c>
      <c r="B8" s="13" t="inlineStr">
        <is>
          <t>Giới hạn khoảng cách tối đa từ điểm xuất phát</t>
        </is>
      </c>
      <c r="C8" s="13" t="inlineStr">
        <is>
          <t>Mặc định 5km, cho phép chọn 3km / 5km / 10km</t>
        </is>
      </c>
      <c r="D8" s="12" t="inlineStr">
        <is>
          <t>Tránh gợi ý quá xa</t>
        </is>
      </c>
    </row>
    <row r="9">
      <c r="A9" s="14" t="inlineStr">
        <is>
          <t>Quy tắc cấu trúc chặng (Sáng)</t>
        </is>
      </c>
      <c r="B9" s="13" t="inlineStr">
        <is>
          <t>1. Ăn sáng/Cafe -&gt; 2. Vui chơi/Bảo tàng/Check-in -&gt; 3. Ăn trưa</t>
        </is>
      </c>
      <c r="C9" s="13" t="inlineStr">
        <is>
          <t>Stop 1: Food (Cafe/Breakfast) -&gt; Stop 2: Tourism/Entertainment -&gt; Stop 3: Food (Lunch)</t>
        </is>
      </c>
      <c r="D9" s="12" t="inlineStr">
        <is>
          <t>3 chặng cân bằng</t>
        </is>
      </c>
    </row>
    <row r="10">
      <c r="A10" s="14" t="inlineStr">
        <is>
          <t>Quy tắc cấu trúc chặng (Chiều)</t>
        </is>
      </c>
      <c r="B10" s="13" t="inlineStr">
        <is>
          <t>1. Ăn trưa/Trà sữa -&gt; 2. Điểm du lịch/Trải nghiệm -&gt; 3. Ngắm hoàng hôn/Ăn tối</t>
        </is>
      </c>
      <c r="C10" s="13" t="inlineStr">
        <is>
          <t>Stop 1: Food -&gt; Stop 2: Tourism/Entertainment -&gt; Stop 3: Food/Cafe</t>
        </is>
      </c>
      <c r="D10" s="12" t="inlineStr">
        <is>
          <t>3 chặng</t>
        </is>
      </c>
    </row>
    <row r="11">
      <c r="A11" s="14" t="inlineStr">
        <is>
          <t>Quy tắc cấu trúc chặng (Tối)</t>
        </is>
      </c>
      <c r="B11" s="13" t="inlineStr">
        <is>
          <t>1. Ăn tối ẩm thực -&gt; 2. Khu vui chơi/Rạp phim/Dạo phố -&gt; 3. Cafe chill/Quán nước view đêm</t>
        </is>
      </c>
      <c r="C11" s="13" t="inlineStr">
        <is>
          <t>Stop 1: Food (Dinner) -&gt; Stop 2: Entertainment/Tourism -&gt; Stop 3: Cafe/Dessert</t>
        </is>
      </c>
      <c r="D11" s="12" t="inlineStr">
        <is>
          <t>3 chặng</t>
        </is>
      </c>
    </row>
    <row r="12">
      <c r="A12" s="14" t="inlineStr">
        <is>
          <t>Quy tắc cấu trúc chặng (Cả ngày)</t>
        </is>
      </c>
      <c r="B12" s="13" t="inlineStr">
        <is>
          <t>Sáng (Ăn sáng + Tham quan) -&gt; Trưa (Ăn trưa + Nghỉ ngơi cafe) -&gt; Chiều (Khu vui chơi) -&gt; Tối (Ăn tối + Dạo ngắm cảnh đêm)</t>
        </is>
      </c>
      <c r="C12" s="13" t="inlineStr">
        <is>
          <t>5 chặng: Food -&gt; Tourism -&gt; Food -&gt; Entertainment -&gt; Tourism/Food</t>
        </is>
      </c>
      <c r="D12" s="12" t="inlineStr">
        <is>
          <t>Chuyến đi trọn vẹn</t>
        </is>
      </c>
    </row>
    <row r="13">
      <c r="A13" s="14" t="inlineStr">
        <is>
          <t>Thuật toán tối ưu đường đi</t>
        </is>
      </c>
      <c r="B13" s="13" t="inlineStr">
        <is>
          <t>Áp dụng Nearest Neighbor Heuristic</t>
        </is>
      </c>
      <c r="C13" s="13" t="inlineStr">
        <is>
          <t>Từ Stop n, tìm Stop n+1 thỏa mãn loại hình cần tìm sao cho khoảng cách d(n, n+1) nhỏ nhất</t>
        </is>
      </c>
      <c r="D13" s="12" t="inlineStr">
        <is>
          <t>Tránh đi ngược chiều zíc zắc</t>
        </is>
      </c>
    </row>
    <row r="14">
      <c r="A14" s="14" t="inlineStr">
        <is>
          <t>Tính năng Đổi chặng (Reroll)</t>
        </is>
      </c>
      <c r="B14" s="13" t="inlineStr">
        <is>
          <t>Bấm nút 'Đổi' tại chặng i để chọn địa điểm khác</t>
        </is>
      </c>
      <c r="C14" s="13" t="inlineStr">
        <is>
          <t>Tìm địa điểm thay thế cùng nhóm trong bán kính gần điểm i-1 và i+1, loại trừ điểm đang chọn</t>
        </is>
      </c>
      <c r="D14" s="12" t="inlineStr">
        <is>
          <t>Người dùng làm chủ lịch trình</t>
        </is>
      </c>
    </row>
    <row r="15">
      <c r="A15" s="14" t="inlineStr">
        <is>
          <t>Hiển thị &amp; Dẫn đường</t>
        </is>
      </c>
      <c r="B15" s="13" t="inlineStr">
        <is>
          <t>Vẽ Leaflet Polyline và tạo Multi-waypoint link Google Maps</t>
        </is>
      </c>
      <c r="C15" s="13" t="inlineStr">
        <is>
          <t>https://www.google.com/maps/dir/lat0,lng0/lat1,lng1/lat2,lng2/...</t>
        </is>
      </c>
      <c r="D15" s="12" t="inlineStr">
        <is>
          <t>Điều hướng thực tế 1 chạm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2026-10-25T06:18:42Z</dcterms:created>
  <dcterms:modified xmlns:dcterms="http://purl.org/dc/terms/" xmlns:xsi="http://www.w3.org/2001/XMLSchema-instance" xsi:type="dcterms:W3CDTF">2026-10-25T06:18:42Z</dcterms:modified>
</cp:coreProperties>
</file>